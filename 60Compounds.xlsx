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9280" activeTab="1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<sst xmlns="http://schemas.openxmlformats.org/spreadsheetml/2006/main" count="231" uniqueCount="231">
  <si>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compound</t>
  </si>
  <si>
    <t>smiles</t>
  </si>
  <si>
    <t>GG3</t>
  </si>
  <si>
    <t>C1=CC(=CC=C1C2=COC3=CC(=CC(=C3C2=O)O)O)O</t>
  </si>
  <si>
    <t>HQ6</t>
  </si>
  <si>
    <t>C1=CC(=CC=C1C2=CC(=O)C3=C(C=C(C=C3O2)O)O)O</t>
  </si>
  <si>
    <t>GG13</t>
  </si>
  <si>
    <t>C1=CC(=CC=C1C2=COC3=C(C2=O)C=CC(=C3)O)O</t>
  </si>
  <si>
    <t>GG1</t>
  </si>
  <si>
    <t>C1=CC(=CC=C1C2=COC3=C(C2=O)C=CC(=C3C4C(C(C(C(O4)CO)O)O)O)O)O</t>
  </si>
  <si>
    <t>HQ1</t>
  </si>
  <si>
    <t>COC1=C(C=C(C2=C1OC(=CC2=O)C3=CC=CC=C3)O)O</t>
  </si>
  <si>
    <t>HQ5</t>
  </si>
  <si>
    <t>C1=CC=C(C=C1)C2=CC(=O)C3=C(O2)C=C(C(=C3O)O)O</t>
  </si>
  <si>
    <t>HQ8</t>
  </si>
  <si>
    <t>C1=CC=C(C=C1)C2=CC(=O)C3=C(C=C(C=C3O2)O)O</t>
  </si>
  <si>
    <t>GG6</t>
  </si>
  <si>
    <t>COC1=CC=C(C=C1)C2=COC3=C(C2=O)C=CC(=C3)O</t>
  </si>
  <si>
    <t>HQ4</t>
  </si>
  <si>
    <t>COC1=C(C2=C(C=C1O)OC(=CC2=O)C3=CC=CC=C3)O</t>
  </si>
  <si>
    <t>GC13</t>
  </si>
  <si>
    <t>CC(C)(C=C)C1=C(C=C(C(=C1)/C=C/C(=O)C2=CC=C(C=C2)O)OC)O</t>
  </si>
  <si>
    <t>GC3</t>
  </si>
  <si>
    <t>C1=CC(=CC=C1/C=C/C(=O)C2=C(C=C(C=C2)O)O)O</t>
  </si>
  <si>
    <t>GC7</t>
  </si>
  <si>
    <t>CC1(C2CCC3(C(C2(CCC1O)C)C(=O)C=C4C3(CCC5(C4CC(CC5)(C)C(=O)O)C)C)C)C</t>
  </si>
  <si>
    <t>GC10</t>
  </si>
  <si>
    <t>CC(=CCC1=C(C2=C(C=C1O)OC(=O)C3=C2OC4=C3C=CC(=C4)O)OC)C</t>
  </si>
  <si>
    <t>GC17</t>
  </si>
  <si>
    <t>CC(=CCC1=C(C=C2C(=C1OC)C=C(C(=O)O2)C3=C(C=C(C=C3)O)O)OC)C</t>
  </si>
  <si>
    <t>GC8</t>
  </si>
  <si>
    <t>CC1(C2CCC3(C(C2(CCC1OC4C(C(C(C(O4)C(=O)O)O)O)OC5C(C(C(C(O5)C(=O)O)O)O)O)C)C(=O)C=C6C3(CCC7(C6CC(CC7)(C)C(=O)O)C)C)C)C</t>
  </si>
  <si>
    <t>GC9</t>
  </si>
  <si>
    <t>CC12CCC(CC1C3=CC(=O)C4C5(CCC(C(C5CCC4(C3(CC2)C)C)(C)CO)OC6C(C(C(C(O6)C(=O)O)O)O)OC7C(C(C(C(O7)C(=O)O)O)O)O)C)(C)C(=O)O</t>
  </si>
  <si>
    <t>GC1</t>
  </si>
  <si>
    <t>CC1(C=CC2=C(O1)C=CC3=C2OCC(C3)C4=C(C=C(C=C4)O)O)C</t>
  </si>
  <si>
    <t>GG15</t>
  </si>
  <si>
    <t>COC1=C(C2=C(C=C1O)OC=C(C2=O)C3=CC=C(C=C3)O)O</t>
  </si>
  <si>
    <t>HL7</t>
  </si>
  <si>
    <t>C[N+]1(CCC2=CC(=C(C3=C2C1CC4=C3C(=C(C=C4)OC)O)O)OC)C</t>
  </si>
  <si>
    <t>GG12</t>
  </si>
  <si>
    <t>C1=CC(=CC=C1C2=COC3=C(C2=O)C=CC(=C3)OC4C(C(C(C(O4)CO)O)O)O)O</t>
  </si>
  <si>
    <t>GG8</t>
  </si>
  <si>
    <t>COC1=CC=C(C=C1)C2=COC3=CC(=CC(=C3C2=O)O)O</t>
  </si>
  <si>
    <t>GC18</t>
  </si>
  <si>
    <t>CC(=CCC1=C(C=CC(=C1O)C2CC3=C(C(=C(C=C3OC2)OC)CC=C(C)C)OC)O)C</t>
  </si>
  <si>
    <t>GG7</t>
  </si>
  <si>
    <t>COC1=CC=C(C=C1)C2=COC3=C(C2=O)C=CC(=C3)OC4C(C(C(C(O4)CO)O)O)O</t>
  </si>
  <si>
    <t>GC11</t>
  </si>
  <si>
    <t>C1C(OC2=C(C1=O)C=CC(=C2)O)C3=CC=C(C=C3)O</t>
  </si>
  <si>
    <t>HL9</t>
  </si>
  <si>
    <t>COC1=C(C=C2CC[N+]3=C(C2=C1)C=C4C=CC5=C(C4=C3)OCO5)O</t>
  </si>
  <si>
    <t>GC12</t>
  </si>
  <si>
    <t>CC(=CCC1=C(C2=C(C=C1O)OC(=O)C(=C2)C3=C(C=C(C=C3)O)O)OC)C</t>
  </si>
  <si>
    <t>HL3</t>
  </si>
  <si>
    <t>COC1=C(C2=C[N+]3=C(C=C2C=C1)C4=CC(=C(C=C4CC3)OC)OC)OC</t>
  </si>
  <si>
    <t>HL4</t>
  </si>
  <si>
    <t>COC1=C(C2=C[N+]3=C(C=C2C=C1)C4=CC(=C(C=C4CC3)O)OC)OC</t>
  </si>
  <si>
    <t>HL1</t>
  </si>
  <si>
    <t>COC1=C(C2=C[N+]3=C(C=C2C=C1)C4=CC5=C(C=C4CC3)OCO5)OC</t>
  </si>
  <si>
    <t>HL10</t>
  </si>
  <si>
    <t>COC1=C(C2=C[N+]3=C(C=C2C=C1)C4=CC5=C(C=C4CC3)OCO5)O.[Cl-]</t>
  </si>
  <si>
    <t>HL6</t>
  </si>
  <si>
    <t>COC1=C(C=C2C(=C1)CC[N+]3=C2C=C4C=CC5=C(C4=C3)OCO5)OC</t>
  </si>
  <si>
    <t>HL2</t>
  </si>
  <si>
    <t>C1C[N+]2=C(C=C3C=CC4=C(C3=C2)OCO4)C5=CC6=C(C=C51)OCO6</t>
  </si>
  <si>
    <t>HQ12</t>
  </si>
  <si>
    <t>C1=CC=C(C=C1)C2=CC(=O)C3=C(C(=C(C=C3O2)OC4C(C(C(C(O4)C(=O)O)O)O)O)O)O</t>
  </si>
  <si>
    <t>HQ11</t>
  </si>
  <si>
    <t>C1=CC(=CC=C1C2=CC(=O)C3=C(C(=C(C=C3O2)OC4C(C(C(C(O4)C(=O)O)O)O)O)O)O)O</t>
  </si>
  <si>
    <t>GC15</t>
  </si>
  <si>
    <t>CC(=CCC1=C(C=CC(=C1O)C2CC3=C(C=C(C(=C3OC)CC=C(C)C)O)OC2)O)C</t>
  </si>
  <si>
    <t>GG19</t>
  </si>
  <si>
    <t>COC1=C(C=CC(=C1)C2=COC3=C(C2=O)C=CC(=C3)OC4C(C(C(C(O4)CO)O)O)O)O</t>
  </si>
  <si>
    <t>GG4</t>
  </si>
  <si>
    <t>C1=CC(=CC=C1C2=COC3=CC(=CC(=C3C2=O)O)OC4C(C(C(C(O4)CO)O)O)O)O</t>
  </si>
  <si>
    <t>GG2</t>
  </si>
  <si>
    <t>COC1=C(C=C2C(=C1)C(=O)C(=CO2)C3=CC=C(C=C3)O)OC4C(C(C(C(O4)CO)O)O)O</t>
  </si>
  <si>
    <t>GC16</t>
  </si>
  <si>
    <t>C1=CC=C(C=C1)C2=CC(=O)C3=C(O2)C(=C(C=C3)O)O</t>
  </si>
  <si>
    <t>GC14</t>
  </si>
  <si>
    <t>CC(=CCC1=C(C(=C(C=C1O)O)C2=COC3=C(C2=O)C=CC(=C3)O)OC)C</t>
  </si>
  <si>
    <t>HQ3</t>
  </si>
  <si>
    <t>COC1=C(C=C2C(=C1O)C(=O)C=C(O2)C3=CC=CC=C3)OC4C(C(C(C(O4)C(=O)O)O)O)O</t>
  </si>
  <si>
    <t>GG16</t>
  </si>
  <si>
    <t>COC1=C(C=C2C(=C1O)C(=O)C(=CO2)C3=CC=C(C=C3)O)OC4C(C(C(C(O4)CO)O)O)O</t>
  </si>
  <si>
    <t>HL5</t>
  </si>
  <si>
    <t>COC1=C(C2=C[N+]3=C(C=C2C=C1)C4=CC(=C(C=C4CC3)OC)O)OC</t>
  </si>
  <si>
    <t>HQ9</t>
  </si>
  <si>
    <t>COC1=C(C=C(C2=C1OC(=CC2=O)C3=CC=CC=C3)O)OC4C(C(C(C(O4)C(=O)O)O)O)O</t>
  </si>
  <si>
    <t>HQ2</t>
  </si>
  <si>
    <t>C1=CC=C(C=C1)C2=CC(=O)C3=C(O2)C(=C(C=C3O)OC4C(C(C(C(O4)C(=O)O)O)O)O)O</t>
  </si>
  <si>
    <t>GC5</t>
  </si>
  <si>
    <t>C1=CC(=CC=C1C=CC(=O)C2=C(C=C(C=C2)O)O)OC3C(C(C(C(O3)CO)O)O)O</t>
  </si>
  <si>
    <t>GG18</t>
  </si>
  <si>
    <t>COC1=C(C=CC(=C1)C2=CC(=O)C3=C(O2)C(=C(C=C3)O)C4C(C(C(C(O4)COC5C(C(CO5)(CO)O)O)O)O)O)O</t>
  </si>
  <si>
    <t>HQ13</t>
  </si>
  <si>
    <t>C1C(C(C(C(O1)C2=C3C(=C(C(=C2O)C4C(C(C(C(O4)CO)O)O)O)O)C(=O)C=C(O3)C5=CC=CC=C5)O)O)O</t>
  </si>
  <si>
    <t>GC2</t>
  </si>
  <si>
    <t>C1C(OC2=C(C1=O)C=CC(=C2)O)C3=CC=C(C=C3)OC4C(C(C(C(O4)CO)O)O)O</t>
  </si>
  <si>
    <t>HQ7</t>
  </si>
  <si>
    <t>C1=CC(=CC=C1C2=CC(=O)C3=C(C=C(C=C3O2)OC4C(C(C(C(O4)C(=O)O)O)O)O)O)O</t>
  </si>
  <si>
    <t>HQ10</t>
  </si>
  <si>
    <t>C1=CC=C(C=C1)C2=CC(=O)C3=C(C(=C(C=C3O2)OC4C(C(C(C(O4)CO)O)O)O)O)O</t>
  </si>
  <si>
    <t>GG10</t>
  </si>
  <si>
    <t>C1C(C(C(C(O1)OCC2C(C(C(C(O2)C3=C(C=CC4=C3OC=C(C4=O)C5=CC=C(C=C5)O)O)O)O)O)O)O)O</t>
  </si>
  <si>
    <t>GC6</t>
  </si>
  <si>
    <t>C1C(OC2=C(C1=O)C=CC(=C2)O)C3=CC=C(C=C3)OC4C(C(C(C(O4)CO)O)O)OC5C(C(CO5)(CO)O)O</t>
  </si>
  <si>
    <t>GG5</t>
  </si>
  <si>
    <t>C1=CC(=C(C=C1C2=COC3=C(C2=O)C=CC(=C3C4C(C(C(C(O4)CO)O)O)O)O)O)O</t>
  </si>
  <si>
    <t>GG9</t>
  </si>
  <si>
    <t>COC1=C(C=CC(=C1)C2=COC3=C(C2=O)C=CC(=C3C4C(C(C(C(O4)CO)O)O)O)O)O</t>
  </si>
  <si>
    <t>GC4</t>
  </si>
  <si>
    <t>C1C(C(C(O1)OC2C(C(C(OC2OC3=CC=C(C=C3)C=CC(=O)C4=C(C=C(C=C4)O)O)CO)O)O)O)(CO)O</t>
  </si>
  <si>
    <t>GG11</t>
  </si>
  <si>
    <t>C1C(C(C(O1)OCC2C(C(C(C(O2)C3=C(C=CC4=C3OC=C(C4=O)C5=CC=C(C=C5)O)O)O)O)O)O)(CO)O</t>
  </si>
  <si>
    <t>GG17</t>
  </si>
  <si>
    <t>COC1=CC=C(C=C1)C2=COC3=C(C2=O)C=CC(=C3C4C(C(C(C(O4)CO)O)O)O)O</t>
  </si>
  <si>
    <t>HL8</t>
  </si>
  <si>
    <t>COC1=C(C2=C[N+]3=C(C=C2C=C1)C4=CC(=C(C=C4CC3)O)O)OC</t>
  </si>
  <si>
    <t>GG14</t>
  </si>
  <si>
    <t>C1=CC=C(C=C1)C2=CC(=O)C3=C(O2)C(=C(C=C3O)O)C4C(C(C(C(O4)CO)O)O)O</t>
  </si>
  <si>
    <t>CompoundName</t>
  </si>
  <si>
    <t>Content（%）</t>
  </si>
  <si>
    <t>Chinese_Name</t>
  </si>
  <si>
    <t>wogoninside</t>
  </si>
  <si>
    <t>汉黄芩苷</t>
  </si>
  <si>
    <t>puerarin</t>
  </si>
  <si>
    <t>葛根素</t>
  </si>
  <si>
    <t>baicalin</t>
  </si>
  <si>
    <t>黄芩苷</t>
  </si>
  <si>
    <t>berberine</t>
  </si>
  <si>
    <t>小檗碱</t>
  </si>
  <si>
    <t>palmatine</t>
  </si>
  <si>
    <t>盐酸巴马汀</t>
  </si>
  <si>
    <t>3'-methoxypuerarin</t>
  </si>
  <si>
    <t>3‘-甲氧基葛根素</t>
  </si>
  <si>
    <t>coptisine</t>
  </si>
  <si>
    <t>黄连碱</t>
  </si>
  <si>
    <t>mirificin</t>
  </si>
  <si>
    <t>美弗辛</t>
  </si>
  <si>
    <t>daidzin</t>
  </si>
  <si>
    <t>大豆苷</t>
  </si>
  <si>
    <t>3'-hydroxypuerarin</t>
  </si>
  <si>
    <t>3’-羟基葛根素</t>
  </si>
  <si>
    <t>epiberberine</t>
  </si>
  <si>
    <t>表小檗碱</t>
  </si>
  <si>
    <t>glycyrrhizic acid</t>
  </si>
  <si>
    <t>甘草酸</t>
  </si>
  <si>
    <t>magnoflorine</t>
  </si>
  <si>
    <t>木兰花碱</t>
  </si>
  <si>
    <t>columbamine</t>
  </si>
  <si>
    <t>非洲防己碱</t>
  </si>
  <si>
    <t>puerarin 6''-O-xyloside</t>
  </si>
  <si>
    <t>葛根素_6"-O-木糖苷</t>
  </si>
  <si>
    <t>glychionide A</t>
  </si>
  <si>
    <t>去甲汉黄芩素-7-O-葡萄糖醛酸苷</t>
  </si>
  <si>
    <t>jatrorrhizine</t>
  </si>
  <si>
    <t>药根碱</t>
  </si>
  <si>
    <t>groenlandicine</t>
  </si>
  <si>
    <t>格兰地新</t>
  </si>
  <si>
    <t>liquiritin</t>
  </si>
  <si>
    <t>甘草苷</t>
  </si>
  <si>
    <t>3'-methoxydaidzin</t>
  </si>
  <si>
    <t>3‘-甲氧基大豆苷</t>
  </si>
  <si>
    <t>liquiritin apioside</t>
  </si>
  <si>
    <t>芹糖甘草苷</t>
  </si>
  <si>
    <t>ononin</t>
  </si>
  <si>
    <t>芒柄花苷</t>
  </si>
  <si>
    <t>genistin</t>
  </si>
  <si>
    <t>染料木苷</t>
  </si>
  <si>
    <t>chrysin-6-C-Glu-8-C-Ara</t>
  </si>
  <si>
    <t>白杨素-6-C-Glc-8-C-Ara</t>
  </si>
  <si>
    <t>licoricesaponin G2</t>
  </si>
  <si>
    <t>甘草皂苷G2</t>
  </si>
  <si>
    <t>daidzein</t>
  </si>
  <si>
    <t>大豆苷元</t>
  </si>
  <si>
    <t>oroxin A</t>
  </si>
  <si>
    <t>木蝴蝶苷A</t>
  </si>
  <si>
    <t>baicalein</t>
  </si>
  <si>
    <t>黄芩素</t>
  </si>
  <si>
    <t>3'-methoxymirificin</t>
  </si>
  <si>
    <t>3’-甲氧基美弗辛</t>
  </si>
  <si>
    <t>isoliquiritin</t>
  </si>
  <si>
    <t>异甘草苷</t>
  </si>
  <si>
    <t>wogonin</t>
  </si>
  <si>
    <t>汉黄芩素</t>
  </si>
  <si>
    <t>scutellarin</t>
  </si>
  <si>
    <t>野黄芩苷</t>
  </si>
  <si>
    <t>isoliquiritin apioside</t>
  </si>
  <si>
    <t>芹糖异甘草苷</t>
  </si>
  <si>
    <t>4'-methylpuerarin</t>
  </si>
  <si>
    <t>4‘-O-甲基葛根素</t>
  </si>
  <si>
    <t>liquiritigenin</t>
  </si>
  <si>
    <t>甘草素</t>
  </si>
  <si>
    <t>demethyleneberberine</t>
  </si>
  <si>
    <t>去亚甲基小檗碱</t>
  </si>
  <si>
    <t>formononetin</t>
  </si>
  <si>
    <t>芒柄花素</t>
  </si>
  <si>
    <t>oroxylin A-7-O-beta-D-glucuronide</t>
  </si>
  <si>
    <t>千层纸素A-7-O-葡萄糖醛酸苷</t>
  </si>
  <si>
    <t>oroxylin A</t>
  </si>
  <si>
    <t>千层纸素A</t>
  </si>
  <si>
    <t>tectorigenin</t>
  </si>
  <si>
    <t>鸢尾黄素</t>
  </si>
  <si>
    <t>tectoridin</t>
  </si>
  <si>
    <t>鸢尾苷</t>
  </si>
  <si>
    <t>glycycoumarin</t>
  </si>
  <si>
    <t>甘草香豆素</t>
  </si>
  <si>
    <t>isoliquiritigenin</t>
  </si>
  <si>
    <t>异甘草素</t>
  </si>
  <si>
    <t>chrysin</t>
  </si>
  <si>
    <t>白杨素</t>
  </si>
  <si>
    <t>berberrubine</t>
  </si>
  <si>
    <t>小檗红碱</t>
  </si>
  <si>
    <t>genistein</t>
  </si>
  <si>
    <t>染料木素</t>
  </si>
  <si>
    <t>licochalcone A</t>
  </si>
  <si>
    <t>甘草查尔酮A</t>
  </si>
  <si>
    <t>glycyrol</t>
  </si>
  <si>
    <t>甘草酚</t>
  </si>
  <si>
    <t>glycyrrhetinic acid</t>
  </si>
  <si>
    <t>甘草次酸</t>
  </si>
  <si>
    <t>glicoricone</t>
  </si>
  <si>
    <t>甘草瑞酮</t>
  </si>
  <si>
    <t>glabridin</t>
  </si>
  <si>
    <t>光甘草定</t>
  </si>
  <si>
    <t>licoricidin</t>
  </si>
  <si>
    <t>甘草西定</t>
  </si>
  <si>
    <t>biochanin A</t>
  </si>
  <si>
    <t>鹰嘴豆芽素A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</si>
</sst>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CPU%20Doctor\&#33883;&#26681;&#33449;&#36830;&#27748;\&#26001;&#39532;&#40060;&#27169;&#22411;\&#26001;&#39532;&#40060;&#29992;&#20110;GQD&#25104;&#20998;&#32676;&#33647;&#25928;&#39564;&#35777;&#20998;&#32452;%20-&#38472;&#29618;04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组"/>
      <sheetName val="NTS值计算"/>
      <sheetName val="归一化后NTS计算"/>
      <sheetName val="归一化后分组"/>
      <sheetName val="含量换算"/>
      <sheetName val="Sheet2"/>
      <sheetName val="Sheet1"/>
    </sheetNames>
    <sheetDataSet>
      <sheetData sheetId="0" refreshError="1"/>
      <sheetData sheetId="1" refreshError="1">
        <row r="5">
          <cell r="I5" t="str">
            <v>Genistein</v>
          </cell>
        </row>
        <row r="6">
          <cell r="I6" t="str">
            <v>Apigenin</v>
          </cell>
        </row>
        <row r="7">
          <cell r="I7" t="str">
            <v>Daidzein</v>
          </cell>
        </row>
        <row r="8">
          <cell r="I8" t="str">
            <v>Puerarin</v>
          </cell>
        </row>
        <row r="9">
          <cell r="I9" t="str">
            <v>Wogonin</v>
          </cell>
        </row>
        <row r="10">
          <cell r="I10" t="str">
            <v>Baicalein</v>
          </cell>
        </row>
        <row r="11">
          <cell r="I11" t="str">
            <v>Chrysin</v>
          </cell>
        </row>
        <row r="12">
          <cell r="I12" t="str">
            <v>Formononetin</v>
          </cell>
        </row>
        <row r="13">
          <cell r="I13" t="str">
            <v>Oroxylin A</v>
          </cell>
        </row>
        <row r="14">
          <cell r="I14" t="str">
            <v>Licochalcone A</v>
          </cell>
        </row>
        <row r="15">
          <cell r="I15" t="str">
            <v>Isoliquiritigenin</v>
          </cell>
        </row>
        <row r="16">
          <cell r="I16" t="str">
            <v>Glycyrrhetinic acid</v>
          </cell>
        </row>
        <row r="17">
          <cell r="I17" t="str">
            <v>Glycyrol</v>
          </cell>
        </row>
        <row r="18">
          <cell r="I18" t="str">
            <v>Glycyrin</v>
          </cell>
        </row>
        <row r="19">
          <cell r="I19" t="str">
            <v>Glycyrrhizic acid</v>
          </cell>
        </row>
        <row r="20">
          <cell r="I20" t="str">
            <v>Licoricesaponin G2</v>
          </cell>
        </row>
        <row r="21">
          <cell r="I21" t="str">
            <v>Glabridin</v>
          </cell>
        </row>
        <row r="22">
          <cell r="I22" t="str">
            <v>tectorigenin</v>
          </cell>
        </row>
        <row r="23">
          <cell r="I23" t="str">
            <v>Magnoflorine</v>
          </cell>
        </row>
        <row r="24">
          <cell r="I24" t="str">
            <v>Daidzin</v>
          </cell>
        </row>
        <row r="25">
          <cell r="I25" t="str">
            <v>Biochanin A</v>
          </cell>
        </row>
        <row r="26">
          <cell r="I26" t="str">
            <v>Licorisoflavan A</v>
          </cell>
        </row>
        <row r="27">
          <cell r="I27" t="str">
            <v>Ononin</v>
          </cell>
        </row>
        <row r="28">
          <cell r="I28" t="str">
            <v>Liquiritigenin</v>
          </cell>
        </row>
        <row r="29">
          <cell r="I29" t="str">
            <v>Groenlandicine</v>
          </cell>
        </row>
        <row r="30">
          <cell r="I30" t="str">
            <v>Glycycoumarin</v>
          </cell>
        </row>
        <row r="31">
          <cell r="I31" t="str">
            <v>Palmatine</v>
          </cell>
        </row>
        <row r="32">
          <cell r="I32" t="str">
            <v>Jatrorrhizine</v>
          </cell>
        </row>
        <row r="33">
          <cell r="I33" t="str">
            <v>Berberine</v>
          </cell>
        </row>
        <row r="34">
          <cell r="I34" t="str">
            <v>Berberrubine</v>
          </cell>
        </row>
        <row r="35">
          <cell r="I35" t="str">
            <v>Epiberberine</v>
          </cell>
        </row>
        <row r="36">
          <cell r="I36" t="str">
            <v>Coptisine</v>
          </cell>
        </row>
        <row r="37">
          <cell r="I37" t="str">
            <v>Baicalin</v>
          </cell>
        </row>
        <row r="38">
          <cell r="I38" t="str">
            <v>Scutellarin</v>
          </cell>
        </row>
        <row r="39">
          <cell r="I39" t="str">
            <v>Licoricidin</v>
          </cell>
        </row>
        <row r="40">
          <cell r="I40" t="str">
            <v>3'-Methoxydaidzin</v>
          </cell>
        </row>
        <row r="41">
          <cell r="I41" t="str">
            <v>Genistin</v>
          </cell>
        </row>
        <row r="42">
          <cell r="I42" t="str">
            <v>Glycitin</v>
          </cell>
        </row>
        <row r="43">
          <cell r="I43" t="str">
            <v>7,8-Dihydroxyflavone</v>
          </cell>
        </row>
        <row r="44">
          <cell r="I44" t="str">
            <v>Glicoricone</v>
          </cell>
        </row>
        <row r="45">
          <cell r="I45" t="str">
            <v>Oroxylin A-7-O-β-D-gluA</v>
          </cell>
        </row>
        <row r="46">
          <cell r="I46" t="str">
            <v>tectoridin</v>
          </cell>
        </row>
        <row r="47">
          <cell r="I47" t="str">
            <v>Columbamine</v>
          </cell>
        </row>
        <row r="48">
          <cell r="I48" t="str">
            <v>Wogonoside</v>
          </cell>
        </row>
        <row r="49">
          <cell r="I49" t="str">
            <v>Glychionide A</v>
          </cell>
        </row>
        <row r="50">
          <cell r="I50" t="str">
            <v>Isoliquiritin</v>
          </cell>
        </row>
        <row r="51">
          <cell r="I51" t="str">
            <v>3'-Methoxymirificin</v>
          </cell>
        </row>
        <row r="52">
          <cell r="I52" t="str">
            <v>Chrysin 8-C-Ara-6-C-Glu</v>
          </cell>
        </row>
        <row r="53">
          <cell r="I53" t="str">
            <v>Liquiritin</v>
          </cell>
        </row>
        <row r="54">
          <cell r="I54" t="str">
            <v>Apigenin 7-O-glucuronide</v>
          </cell>
        </row>
        <row r="55">
          <cell r="I55" t="str">
            <v>Oroxin A</v>
          </cell>
        </row>
        <row r="56">
          <cell r="I56" t="str">
            <v>Puerarin 6''-O-xyloside</v>
          </cell>
        </row>
        <row r="57">
          <cell r="I57" t="str">
            <v>Liquiritin apioside</v>
          </cell>
        </row>
        <row r="58">
          <cell r="I58" t="str">
            <v>3’-Hydroxypuerarin</v>
          </cell>
        </row>
        <row r="59">
          <cell r="I59" t="str">
            <v>3’-Methoxypuerarin</v>
          </cell>
        </row>
        <row r="60">
          <cell r="I60" t="str">
            <v>Isoliquiritin apioside</v>
          </cell>
        </row>
        <row r="61">
          <cell r="I61" t="str">
            <v>Mirificin</v>
          </cell>
        </row>
        <row r="62">
          <cell r="I62" t="str">
            <v>4'-O-methylpuerarin</v>
          </cell>
        </row>
        <row r="63">
          <cell r="I63" t="str">
            <v>Demethyleneberberine</v>
          </cell>
        </row>
        <row r="64">
          <cell r="I64" t="str">
            <v>Chrysin-8-C-glucoside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C14" sqref="C14"/>
    </sheetView>
  </sheetViews>
  <sheetFormatPr defaultColWidth="8.83333333333333" defaultRowHeight="14" outlineLevelCol="2"/>
  <cols>
    <col min="2" max="2" width="21.5" customWidth="1"/>
  </cols>
  <sheetData>
    <row r="1" spans="1:3">
      <c r="A1" s="1"/>
      <c r="B1" s="1" t="s">
        <v>0</v>
      </c>
      <c r="C1" t="s">
        <v>1</v>
      </c>
    </row>
    <row r="2" spans="1:3">
      <c r="A2" s="4" t="s">
        <v>2</v>
      </c>
      <c r="B2" s="2" t="str">
        <f>[1]NTS值计算!I5</f>
        <v>Genistein</v>
      </c>
      <c r="C2" t="s">
        <v>3</v>
      </c>
    </row>
    <row r="3" spans="1:3">
      <c r="A3" s="4" t="s">
        <v>4</v>
      </c>
      <c r="B3" s="2" t="str">
        <f>[1]NTS值计算!I6</f>
        <v>Apigenin</v>
      </c>
      <c r="C3" t="s">
        <v>5</v>
      </c>
    </row>
    <row r="4" spans="1:3">
      <c r="A4" s="4" t="s">
        <v>6</v>
      </c>
      <c r="B4" s="2" t="str">
        <f>[1]NTS值计算!I7</f>
        <v>Daidzein</v>
      </c>
      <c r="C4" t="s">
        <v>7</v>
      </c>
    </row>
    <row r="5" spans="1:3">
      <c r="A5" s="4" t="s">
        <v>8</v>
      </c>
      <c r="B5" s="2" t="str">
        <f>[1]NTS值计算!I8</f>
        <v>Puerarin</v>
      </c>
      <c r="C5" t="s">
        <v>9</v>
      </c>
    </row>
    <row r="6" spans="1:3">
      <c r="A6" s="4" t="s">
        <v>10</v>
      </c>
      <c r="B6" s="2" t="str">
        <f>[1]NTS值计算!I9</f>
        <v>Wogonin</v>
      </c>
      <c r="C6" t="s">
        <v>11</v>
      </c>
    </row>
    <row r="7" spans="1:3">
      <c r="A7" s="4" t="s">
        <v>12</v>
      </c>
      <c r="B7" s="2" t="str">
        <f>[1]NTS值计算!I10</f>
        <v>Baicalein</v>
      </c>
      <c r="C7" t="s">
        <v>13</v>
      </c>
    </row>
    <row r="8" spans="1:3">
      <c r="A8" s="4" t="s">
        <v>14</v>
      </c>
      <c r="B8" s="2" t="str">
        <f>[1]NTS值计算!I11</f>
        <v>Chrysin</v>
      </c>
      <c r="C8" t="s">
        <v>15</v>
      </c>
    </row>
    <row r="9" spans="1:3">
      <c r="A9" s="4" t="s">
        <v>16</v>
      </c>
      <c r="B9" s="2" t="str">
        <f>[1]NTS值计算!I12</f>
        <v>Formononetin</v>
      </c>
      <c r="C9" t="s">
        <v>17</v>
      </c>
    </row>
    <row r="10" spans="1:3">
      <c r="A10" s="4" t="s">
        <v>18</v>
      </c>
      <c r="B10" s="2" t="str">
        <f>[1]NTS值计算!I13</f>
        <v>Oroxylin A</v>
      </c>
      <c r="C10" t="s">
        <v>19</v>
      </c>
    </row>
    <row r="11" spans="1:3">
      <c r="A11" s="4" t="s">
        <v>20</v>
      </c>
      <c r="B11" s="2" t="str">
        <f>[1]NTS值计算!I14</f>
        <v>Licochalcone A</v>
      </c>
      <c r="C11" t="s">
        <v>21</v>
      </c>
    </row>
    <row r="12" spans="1:3">
      <c r="A12" s="4" t="s">
        <v>22</v>
      </c>
      <c r="B12" s="2" t="str">
        <f>[1]NTS值计算!I15</f>
        <v>Isoliquiritigenin</v>
      </c>
      <c r="C12" t="s">
        <v>23</v>
      </c>
    </row>
    <row r="13" spans="1:3">
      <c r="A13" s="4" t="s">
        <v>24</v>
      </c>
      <c r="B13" s="2" t="str">
        <f>[1]NTS值计算!I16</f>
        <v>Glycyrrhetinic acid</v>
      </c>
      <c r="C13" t="s">
        <v>25</v>
      </c>
    </row>
    <row r="14" spans="1:3">
      <c r="A14" s="4" t="s">
        <v>26</v>
      </c>
      <c r="B14" s="2" t="str">
        <f>[1]NTS值计算!I17</f>
        <v>Glycyrol</v>
      </c>
      <c r="C14" t="s">
        <v>27</v>
      </c>
    </row>
    <row r="15" spans="1:3">
      <c r="A15" s="4" t="s">
        <v>28</v>
      </c>
      <c r="B15" s="2" t="str">
        <f>[1]NTS值计算!I18</f>
        <v>Glycyrin</v>
      </c>
      <c r="C15" t="s">
        <v>29</v>
      </c>
    </row>
    <row r="16" spans="1:3">
      <c r="A16" s="4" t="s">
        <v>30</v>
      </c>
      <c r="B16" s="2" t="str">
        <f>[1]NTS值计算!I19</f>
        <v>Glycyrrhizic acid</v>
      </c>
      <c r="C16" t="s">
        <v>31</v>
      </c>
    </row>
    <row r="17" spans="1:3">
      <c r="A17" s="4" t="s">
        <v>32</v>
      </c>
      <c r="B17" s="2" t="str">
        <f>[1]NTS值计算!I20</f>
        <v>Licoricesaponin G2</v>
      </c>
      <c r="C17" t="s">
        <v>33</v>
      </c>
    </row>
    <row r="18" spans="1:3">
      <c r="A18" s="4" t="s">
        <v>34</v>
      </c>
      <c r="B18" s="2" t="str">
        <f>[1]NTS值计算!I21</f>
        <v>Glabridin</v>
      </c>
      <c r="C18" t="s">
        <v>35</v>
      </c>
    </row>
    <row r="19" spans="1:3">
      <c r="A19" s="4" t="s">
        <v>36</v>
      </c>
      <c r="B19" s="2" t="str">
        <f>[1]NTS值计算!I22</f>
        <v>tectorigenin</v>
      </c>
      <c r="C19" t="s">
        <v>37</v>
      </c>
    </row>
    <row r="20" spans="1:3">
      <c r="A20" s="4" t="s">
        <v>38</v>
      </c>
      <c r="B20" s="2" t="str">
        <f>[1]NTS值计算!I23</f>
        <v>Magnoflorine</v>
      </c>
      <c r="C20" t="s">
        <v>39</v>
      </c>
    </row>
    <row r="21" spans="1:3">
      <c r="A21" s="4" t="s">
        <v>40</v>
      </c>
      <c r="B21" s="2" t="str">
        <f>[1]NTS值计算!I24</f>
        <v>Daidzin</v>
      </c>
      <c r="C21" t="s">
        <v>41</v>
      </c>
    </row>
    <row r="22" spans="1:3">
      <c r="A22" s="4" t="s">
        <v>42</v>
      </c>
      <c r="B22" s="2" t="str">
        <f>[1]NTS值计算!I25</f>
        <v>Biochanin A</v>
      </c>
      <c r="C22" t="s">
        <v>43</v>
      </c>
    </row>
    <row r="23" spans="1:3">
      <c r="A23" s="4" t="s">
        <v>44</v>
      </c>
      <c r="B23" s="2" t="str">
        <f>[1]NTS值计算!I26</f>
        <v>Licorisoflavan A</v>
      </c>
      <c r="C23" t="s">
        <v>45</v>
      </c>
    </row>
    <row r="24" spans="1:3">
      <c r="A24" s="4" t="s">
        <v>46</v>
      </c>
      <c r="B24" s="2" t="str">
        <f>[1]NTS值计算!I27</f>
        <v>Ononin</v>
      </c>
      <c r="C24" t="s">
        <v>47</v>
      </c>
    </row>
    <row r="25" spans="1:3">
      <c r="A25" s="4" t="s">
        <v>48</v>
      </c>
      <c r="B25" s="2" t="str">
        <f>[1]NTS值计算!I28</f>
        <v>Liquiritigenin</v>
      </c>
      <c r="C25" t="s">
        <v>49</v>
      </c>
    </row>
    <row r="26" spans="1:3">
      <c r="A26" s="4" t="s">
        <v>50</v>
      </c>
      <c r="B26" s="2" t="str">
        <f>[1]NTS值计算!I29</f>
        <v>Groenlandicine</v>
      </c>
      <c r="C26" t="s">
        <v>51</v>
      </c>
    </row>
    <row r="27" spans="1:3">
      <c r="A27" s="4" t="s">
        <v>52</v>
      </c>
      <c r="B27" s="2" t="str">
        <f>[1]NTS值计算!I30</f>
        <v>Glycycoumarin</v>
      </c>
      <c r="C27" t="s">
        <v>53</v>
      </c>
    </row>
    <row r="28" spans="1:3">
      <c r="A28" s="4" t="s">
        <v>54</v>
      </c>
      <c r="B28" s="2" t="str">
        <f>[1]NTS值计算!I31</f>
        <v>Palmatine</v>
      </c>
      <c r="C28" t="s">
        <v>55</v>
      </c>
    </row>
    <row r="29" spans="1:3">
      <c r="A29" s="4" t="s">
        <v>56</v>
      </c>
      <c r="B29" s="2" t="str">
        <f>[1]NTS值计算!I32</f>
        <v>Jatrorrhizine</v>
      </c>
      <c r="C29" t="s">
        <v>57</v>
      </c>
    </row>
    <row r="30" spans="1:3">
      <c r="A30" s="4" t="s">
        <v>58</v>
      </c>
      <c r="B30" s="2" t="str">
        <f>[1]NTS值计算!I33</f>
        <v>Berberine</v>
      </c>
      <c r="C30" t="s">
        <v>59</v>
      </c>
    </row>
    <row r="31" spans="1:3">
      <c r="A31" s="4" t="s">
        <v>60</v>
      </c>
      <c r="B31" s="2" t="str">
        <f>[1]NTS值计算!I34</f>
        <v>Berberrubine</v>
      </c>
      <c r="C31" t="s">
        <v>61</v>
      </c>
    </row>
    <row r="32" spans="1:3">
      <c r="A32" s="4" t="s">
        <v>62</v>
      </c>
      <c r="B32" s="2" t="str">
        <f>[1]NTS值计算!I35</f>
        <v>Epiberberine</v>
      </c>
      <c r="C32" t="s">
        <v>63</v>
      </c>
    </row>
    <row r="33" spans="1:3">
      <c r="A33" s="4" t="s">
        <v>64</v>
      </c>
      <c r="B33" s="2" t="str">
        <f>[1]NTS值计算!I36</f>
        <v>Coptisine</v>
      </c>
      <c r="C33" t="s">
        <v>65</v>
      </c>
    </row>
    <row r="34" spans="1:3">
      <c r="A34" s="4" t="s">
        <v>66</v>
      </c>
      <c r="B34" s="2" t="str">
        <f>[1]NTS值计算!I37</f>
        <v>Baicalin</v>
      </c>
      <c r="C34" t="s">
        <v>67</v>
      </c>
    </row>
    <row r="35" spans="1:3">
      <c r="A35" s="4" t="s">
        <v>68</v>
      </c>
      <c r="B35" s="2" t="str">
        <f>[1]NTS值计算!I38</f>
        <v>Scutellarin</v>
      </c>
      <c r="C35" t="s">
        <v>69</v>
      </c>
    </row>
    <row r="36" spans="1:3">
      <c r="A36" s="4" t="s">
        <v>70</v>
      </c>
      <c r="B36" s="2" t="str">
        <f>[1]NTS值计算!I39</f>
        <v>Licoricidin</v>
      </c>
      <c r="C36" t="s">
        <v>71</v>
      </c>
    </row>
    <row r="37" spans="1:3">
      <c r="A37" s="4" t="s">
        <v>72</v>
      </c>
      <c r="B37" s="2" t="str">
        <f>[1]NTS值计算!I40</f>
        <v>3'-Methoxydaidzin</v>
      </c>
      <c r="C37" t="s">
        <v>73</v>
      </c>
    </row>
    <row r="38" spans="1:3">
      <c r="A38" s="4" t="s">
        <v>74</v>
      </c>
      <c r="B38" s="2" t="str">
        <f>[1]NTS值计算!I41</f>
        <v>Genistin</v>
      </c>
      <c r="C38" t="s">
        <v>75</v>
      </c>
    </row>
    <row r="39" spans="1:3">
      <c r="A39" s="4" t="s">
        <v>76</v>
      </c>
      <c r="B39" s="2" t="str">
        <f>[1]NTS值计算!I42</f>
        <v>Glycitin</v>
      </c>
      <c r="C39" t="s">
        <v>77</v>
      </c>
    </row>
    <row r="40" spans="1:3">
      <c r="A40" s="4" t="s">
        <v>78</v>
      </c>
      <c r="B40" s="2" t="str">
        <f>[1]NTS值计算!I43</f>
        <v>7,8-Dihydroxyflavone</v>
      </c>
      <c r="C40" t="s">
        <v>79</v>
      </c>
    </row>
    <row r="41" spans="1:3">
      <c r="A41" s="4" t="s">
        <v>80</v>
      </c>
      <c r="B41" s="2" t="str">
        <f>[1]NTS值计算!I44</f>
        <v>Glicoricone</v>
      </c>
      <c r="C41" t="s">
        <v>81</v>
      </c>
    </row>
    <row r="42" spans="1:3">
      <c r="A42" s="4" t="s">
        <v>82</v>
      </c>
      <c r="B42" s="2" t="str">
        <f>[1]NTS值计算!I45</f>
        <v>Oroxylin A-7-O-β-D-gluA</v>
      </c>
      <c r="C42" t="s">
        <v>83</v>
      </c>
    </row>
    <row r="43" spans="1:3">
      <c r="A43" s="4" t="s">
        <v>84</v>
      </c>
      <c r="B43" s="2" t="str">
        <f>[1]NTS值计算!I46</f>
        <v>tectoridin</v>
      </c>
      <c r="C43" t="s">
        <v>85</v>
      </c>
    </row>
    <row r="44" spans="1:3">
      <c r="A44" s="4" t="s">
        <v>86</v>
      </c>
      <c r="B44" s="2" t="str">
        <f>[1]NTS值计算!I47</f>
        <v>Columbamine</v>
      </c>
      <c r="C44" t="s">
        <v>87</v>
      </c>
    </row>
    <row r="45" spans="1:3">
      <c r="A45" s="4" t="s">
        <v>88</v>
      </c>
      <c r="B45" s="2" t="str">
        <f>[1]NTS值计算!I48</f>
        <v>Wogonoside</v>
      </c>
      <c r="C45" t="s">
        <v>89</v>
      </c>
    </row>
    <row r="46" spans="1:3">
      <c r="A46" s="4" t="s">
        <v>90</v>
      </c>
      <c r="B46" s="2" t="str">
        <f>[1]NTS值计算!I49</f>
        <v>Glychionide A</v>
      </c>
      <c r="C46" t="s">
        <v>91</v>
      </c>
    </row>
    <row r="47" spans="1:3">
      <c r="A47" s="4" t="s">
        <v>92</v>
      </c>
      <c r="B47" s="2" t="str">
        <f>[1]NTS值计算!I50</f>
        <v>Isoliquiritin</v>
      </c>
      <c r="C47" t="s">
        <v>93</v>
      </c>
    </row>
    <row r="48" spans="1:3">
      <c r="A48" s="4" t="s">
        <v>94</v>
      </c>
      <c r="B48" s="2" t="str">
        <f>[1]NTS值计算!I51</f>
        <v>3'-Methoxymirificin</v>
      </c>
      <c r="C48" t="s">
        <v>95</v>
      </c>
    </row>
    <row r="49" spans="1:3">
      <c r="A49" s="4" t="s">
        <v>96</v>
      </c>
      <c r="B49" s="2" t="str">
        <f>[1]NTS值计算!I52</f>
        <v>Chrysin 8-C-Ara-6-C-Glu</v>
      </c>
      <c r="C49" t="s">
        <v>97</v>
      </c>
    </row>
    <row r="50" spans="1:3">
      <c r="A50" s="4" t="s">
        <v>98</v>
      </c>
      <c r="B50" s="2" t="str">
        <f>[1]NTS值计算!I53</f>
        <v>Liquiritin</v>
      </c>
      <c r="C50" t="s">
        <v>99</v>
      </c>
    </row>
    <row r="51" spans="1:3">
      <c r="A51" s="4" t="s">
        <v>100</v>
      </c>
      <c r="B51" s="2" t="str">
        <f>[1]NTS值计算!I54</f>
        <v>Apigenin 7-O-glucuronide</v>
      </c>
      <c r="C51" t="s">
        <v>101</v>
      </c>
    </row>
    <row r="52" spans="1:3">
      <c r="A52" s="4" t="s">
        <v>102</v>
      </c>
      <c r="B52" s="2" t="str">
        <f>[1]NTS值计算!I55</f>
        <v>Oroxin A</v>
      </c>
      <c r="C52" t="s">
        <v>103</v>
      </c>
    </row>
    <row r="53" spans="1:3">
      <c r="A53" s="4" t="s">
        <v>104</v>
      </c>
      <c r="B53" s="2" t="str">
        <f>[1]NTS值计算!I56</f>
        <v>Puerarin 6''-O-xyloside</v>
      </c>
      <c r="C53" t="s">
        <v>105</v>
      </c>
    </row>
    <row r="54" spans="1:3">
      <c r="A54" s="4" t="s">
        <v>106</v>
      </c>
      <c r="B54" s="2" t="str">
        <f>[1]NTS值计算!I57</f>
        <v>Liquiritin apioside</v>
      </c>
      <c r="C54" t="s">
        <v>107</v>
      </c>
    </row>
    <row r="55" spans="1:3">
      <c r="A55" s="4" t="s">
        <v>108</v>
      </c>
      <c r="B55" s="2" t="str">
        <f>[1]NTS值计算!I58</f>
        <v>3’-Hydroxypuerarin</v>
      </c>
      <c r="C55" t="s">
        <v>109</v>
      </c>
    </row>
    <row r="56" spans="1:3">
      <c r="A56" s="4" t="s">
        <v>110</v>
      </c>
      <c r="B56" s="2" t="str">
        <f>[1]NTS值计算!I59</f>
        <v>3’-Methoxypuerarin</v>
      </c>
      <c r="C56" t="s">
        <v>111</v>
      </c>
    </row>
    <row r="57" spans="1:3">
      <c r="A57" s="4" t="s">
        <v>112</v>
      </c>
      <c r="B57" s="2" t="str">
        <f>[1]NTS值计算!I60</f>
        <v>Isoliquiritin apioside</v>
      </c>
      <c r="C57" t="s">
        <v>113</v>
      </c>
    </row>
    <row r="58" spans="1:3">
      <c r="A58" s="4" t="s">
        <v>114</v>
      </c>
      <c r="B58" s="2" t="str">
        <f>[1]NTS值计算!I61</f>
        <v>Mirificin</v>
      </c>
      <c r="C58" t="s">
        <v>115</v>
      </c>
    </row>
    <row r="59" spans="1:3">
      <c r="A59" s="4" t="s">
        <v>116</v>
      </c>
      <c r="B59" s="2" t="str">
        <f>[1]NTS值计算!I62</f>
        <v>4'-O-methylpuerarin</v>
      </c>
      <c r="C59" t="s">
        <v>117</v>
      </c>
    </row>
    <row r="60" spans="1:3">
      <c r="A60" s="4" t="s">
        <v>118</v>
      </c>
      <c r="B60" s="2" t="str">
        <f>[1]NTS值计算!I63</f>
        <v>Demethyleneberberine</v>
      </c>
      <c r="C60" t="s">
        <v>119</v>
      </c>
    </row>
    <row r="61" spans="1:3">
      <c r="A61" s="4" t="s">
        <v>120</v>
      </c>
      <c r="B61" s="2" t="str">
        <f>[1]NTS值计算!I64</f>
        <v>Chrysin-8-C-glucoside</v>
      </c>
      <c r="C61" t="s">
        <v>121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4" sqref="A4"/>
    </sheetView>
  </sheetViews>
  <sheetFormatPr defaultColWidth="8.83333333333333" defaultRowHeight="14" outlineLevelCol="2"/>
  <cols>
    <col min="3" max="3" width="27" customWidth="1"/>
  </cols>
  <sheetData>
    <row r="1" ht="28" spans="1:3">
      <c r="A1" s="1" t="s">
        <v>122</v>
      </c>
      <c r="B1" s="1" t="s">
        <v>123</v>
      </c>
      <c r="C1" t="s">
        <v>124</v>
      </c>
    </row>
    <row r="2" spans="1:3">
      <c r="A2" s="2" t="s">
        <v>125</v>
      </c>
      <c r="B2" s="3">
        <v>11.963</v>
      </c>
      <c r="C2" t="s">
        <v>126</v>
      </c>
    </row>
    <row r="3" spans="1:3">
      <c r="A3" s="2" t="s">
        <v>127</v>
      </c>
      <c r="B3" s="3">
        <v>8.8863</v>
      </c>
      <c r="C3" t="s">
        <v>128</v>
      </c>
    </row>
    <row r="4" spans="1:3">
      <c r="A4" s="2" t="s">
        <v>129</v>
      </c>
      <c r="B4" s="3">
        <v>6.4581</v>
      </c>
      <c r="C4" t="s">
        <v>130</v>
      </c>
    </row>
    <row r="5" spans="1:3">
      <c r="A5" s="2" t="s">
        <v>131</v>
      </c>
      <c r="B5" s="3">
        <v>6.2077</v>
      </c>
      <c r="C5" t="s">
        <v>132</v>
      </c>
    </row>
    <row r="6" spans="1:3">
      <c r="A6" s="2" t="s">
        <v>133</v>
      </c>
      <c r="B6" s="3">
        <v>2.0096</v>
      </c>
      <c r="C6" t="s">
        <v>134</v>
      </c>
    </row>
    <row r="7" spans="1:3">
      <c r="A7" s="2" t="s">
        <v>135</v>
      </c>
      <c r="B7" s="3">
        <v>1.7534</v>
      </c>
      <c r="C7" t="s">
        <v>136</v>
      </c>
    </row>
    <row r="8" spans="1:3">
      <c r="A8" s="2" t="s">
        <v>137</v>
      </c>
      <c r="B8" s="3">
        <v>1.612</v>
      </c>
      <c r="C8" t="s">
        <v>138</v>
      </c>
    </row>
    <row r="9" spans="1:3">
      <c r="A9" s="2" t="s">
        <v>139</v>
      </c>
      <c r="B9" s="3">
        <v>1.5131</v>
      </c>
      <c r="C9" t="s">
        <v>140</v>
      </c>
    </row>
    <row r="10" spans="1:3">
      <c r="A10" s="2" t="s">
        <v>141</v>
      </c>
      <c r="B10" s="3">
        <v>1.3578</v>
      </c>
      <c r="C10" t="s">
        <v>142</v>
      </c>
    </row>
    <row r="11" spans="1:3">
      <c r="A11" s="2" t="s">
        <v>143</v>
      </c>
      <c r="B11" s="3">
        <v>0.9553</v>
      </c>
      <c r="C11" t="s">
        <v>144</v>
      </c>
    </row>
    <row r="12" spans="1:3">
      <c r="A12" s="2" t="s">
        <v>145</v>
      </c>
      <c r="B12" s="3">
        <v>0.95</v>
      </c>
      <c r="C12" t="s">
        <v>146</v>
      </c>
    </row>
    <row r="13" spans="1:3">
      <c r="A13" s="2" t="s">
        <v>147</v>
      </c>
      <c r="B13" s="3">
        <v>0.5159</v>
      </c>
      <c r="C13" t="s">
        <v>148</v>
      </c>
    </row>
    <row r="14" spans="1:3">
      <c r="A14" s="2" t="s">
        <v>149</v>
      </c>
      <c r="B14" s="3">
        <v>0.4408</v>
      </c>
      <c r="C14" t="s">
        <v>150</v>
      </c>
    </row>
    <row r="15" spans="1:3">
      <c r="A15" s="2" t="s">
        <v>151</v>
      </c>
      <c r="B15" s="3">
        <v>0.3812</v>
      </c>
      <c r="C15" t="s">
        <v>152</v>
      </c>
    </row>
    <row r="16" spans="1:3">
      <c r="A16" s="2" t="s">
        <v>153</v>
      </c>
      <c r="B16" s="3">
        <v>0.3074</v>
      </c>
      <c r="C16" t="s">
        <v>154</v>
      </c>
    </row>
    <row r="17" spans="1:3">
      <c r="A17" s="2" t="s">
        <v>155</v>
      </c>
      <c r="B17" s="3">
        <v>0.2777</v>
      </c>
      <c r="C17" t="s">
        <v>156</v>
      </c>
    </row>
    <row r="18" spans="1:3">
      <c r="A18" s="2" t="s">
        <v>157</v>
      </c>
      <c r="B18" s="3">
        <v>0.2264</v>
      </c>
      <c r="C18" t="s">
        <v>158</v>
      </c>
    </row>
    <row r="19" spans="1:3">
      <c r="A19" s="2" t="s">
        <v>159</v>
      </c>
      <c r="B19" s="3">
        <v>0.2117</v>
      </c>
      <c r="C19" t="s">
        <v>160</v>
      </c>
    </row>
    <row r="20" spans="1:3">
      <c r="A20" s="2" t="s">
        <v>161</v>
      </c>
      <c r="B20" s="3">
        <v>0.1841</v>
      </c>
      <c r="C20" t="s">
        <v>162</v>
      </c>
    </row>
    <row r="21" spans="1:3">
      <c r="A21" s="2" t="s">
        <v>163</v>
      </c>
      <c r="B21" s="3">
        <v>0.1706</v>
      </c>
      <c r="C21" t="s">
        <v>164</v>
      </c>
    </row>
    <row r="22" spans="1:3">
      <c r="A22" s="2" t="s">
        <v>165</v>
      </c>
      <c r="B22" s="3">
        <v>0.1529</v>
      </c>
      <c r="C22" t="s">
        <v>166</v>
      </c>
    </row>
    <row r="23" spans="1:3">
      <c r="A23" s="2" t="s">
        <v>167</v>
      </c>
      <c r="B23" s="3">
        <v>0.1307</v>
      </c>
      <c r="C23" t="s">
        <v>168</v>
      </c>
    </row>
    <row r="24" spans="1:3">
      <c r="A24" s="2" t="s">
        <v>169</v>
      </c>
      <c r="B24" s="3">
        <v>0.1284</v>
      </c>
      <c r="C24" t="s">
        <v>170</v>
      </c>
    </row>
    <row r="25" spans="1:3">
      <c r="A25" s="2" t="s">
        <v>171</v>
      </c>
      <c r="B25" s="3">
        <v>0.1243</v>
      </c>
      <c r="C25" t="s">
        <v>172</v>
      </c>
    </row>
    <row r="26" spans="1:3">
      <c r="A26" s="2" t="s">
        <v>173</v>
      </c>
      <c r="B26" s="3">
        <v>0.1077</v>
      </c>
      <c r="C26" t="s">
        <v>174</v>
      </c>
    </row>
    <row r="27" spans="1:3">
      <c r="A27" s="2" t="s">
        <v>175</v>
      </c>
      <c r="B27" s="3">
        <v>0.0876</v>
      </c>
      <c r="C27" t="s">
        <v>176</v>
      </c>
    </row>
    <row r="28" spans="1:3">
      <c r="A28" s="2" t="s">
        <v>177</v>
      </c>
      <c r="B28" s="3">
        <v>0.071</v>
      </c>
      <c r="C28" t="s">
        <v>178</v>
      </c>
    </row>
    <row r="29" spans="1:3">
      <c r="A29" s="2" t="s">
        <v>179</v>
      </c>
      <c r="B29" s="3">
        <v>0.0675</v>
      </c>
      <c r="C29" t="s">
        <v>180</v>
      </c>
    </row>
    <row r="30" spans="1:3">
      <c r="A30" s="2" t="s">
        <v>181</v>
      </c>
      <c r="B30" s="3">
        <v>0.0655</v>
      </c>
      <c r="C30" t="s">
        <v>182</v>
      </c>
    </row>
    <row r="31" spans="1:3">
      <c r="A31" s="2" t="s">
        <v>183</v>
      </c>
      <c r="B31" s="3">
        <v>0.0512</v>
      </c>
      <c r="C31" t="s">
        <v>184</v>
      </c>
    </row>
    <row r="32" spans="1:3">
      <c r="A32" s="2" t="s">
        <v>185</v>
      </c>
      <c r="B32" s="3">
        <v>0.0478</v>
      </c>
      <c r="C32" t="s">
        <v>186</v>
      </c>
    </row>
    <row r="33" spans="1:3">
      <c r="A33" s="2" t="s">
        <v>187</v>
      </c>
      <c r="B33" s="3">
        <v>0.0397</v>
      </c>
      <c r="C33" t="s">
        <v>188</v>
      </c>
    </row>
    <row r="34" spans="1:3">
      <c r="A34" s="2" t="s">
        <v>189</v>
      </c>
      <c r="B34" s="3">
        <v>0.0365</v>
      </c>
      <c r="C34" t="s">
        <v>190</v>
      </c>
    </row>
    <row r="35" spans="1:3">
      <c r="A35" s="2" t="s">
        <v>191</v>
      </c>
      <c r="B35" s="3">
        <v>0.0302</v>
      </c>
      <c r="C35" t="s">
        <v>192</v>
      </c>
    </row>
    <row r="36" spans="1:3">
      <c r="A36" s="2" t="s">
        <v>193</v>
      </c>
      <c r="B36" s="3">
        <v>0.0116</v>
      </c>
      <c r="C36" t="s">
        <v>194</v>
      </c>
    </row>
    <row r="37" spans="1:3">
      <c r="A37" s="2" t="s">
        <v>195</v>
      </c>
      <c r="B37" s="2">
        <v>0.0098</v>
      </c>
      <c r="C37" t="s">
        <v>196</v>
      </c>
    </row>
    <row r="38" spans="1:3">
      <c r="A38" s="2" t="s">
        <v>197</v>
      </c>
      <c r="B38" s="2">
        <v>0.0083</v>
      </c>
      <c r="C38" t="s">
        <v>198</v>
      </c>
    </row>
    <row r="39" spans="1:3">
      <c r="A39" s="2" t="s">
        <v>199</v>
      </c>
      <c r="B39" s="2">
        <v>0.0081</v>
      </c>
      <c r="C39" t="s">
        <v>200</v>
      </c>
    </row>
    <row r="40" spans="1:3">
      <c r="A40" s="2" t="s">
        <v>201</v>
      </c>
      <c r="B40" s="2">
        <v>0.0065</v>
      </c>
      <c r="C40" t="s">
        <v>202</v>
      </c>
    </row>
    <row r="41" spans="1:3">
      <c r="A41" s="2" t="s">
        <v>203</v>
      </c>
      <c r="B41" s="2">
        <v>0.0049</v>
      </c>
      <c r="C41" t="s">
        <v>204</v>
      </c>
    </row>
    <row r="42" spans="1:3">
      <c r="A42" s="2" t="s">
        <v>205</v>
      </c>
      <c r="B42" s="2">
        <v>0.0038</v>
      </c>
      <c r="C42" t="s">
        <v>206</v>
      </c>
    </row>
    <row r="43" spans="1:3">
      <c r="A43" s="2" t="s">
        <v>207</v>
      </c>
      <c r="B43" s="2">
        <v>0.0032</v>
      </c>
      <c r="C43" t="s">
        <v>208</v>
      </c>
    </row>
    <row r="44" spans="1:3">
      <c r="A44" s="2" t="s">
        <v>209</v>
      </c>
      <c r="B44" s="2">
        <v>0.0022</v>
      </c>
      <c r="C44" t="s">
        <v>210</v>
      </c>
    </row>
    <row r="45" spans="1:3">
      <c r="A45" s="2" t="s">
        <v>211</v>
      </c>
      <c r="B45" s="2">
        <v>0.0018</v>
      </c>
      <c r="C45" t="s">
        <v>212</v>
      </c>
    </row>
    <row r="46" spans="1:3">
      <c r="A46" s="2" t="s">
        <v>213</v>
      </c>
      <c r="B46" s="2">
        <v>0.0014</v>
      </c>
      <c r="C46" t="s">
        <v>214</v>
      </c>
    </row>
    <row r="47" spans="1:3">
      <c r="A47" s="2" t="s">
        <v>215</v>
      </c>
      <c r="B47" s="2">
        <v>0.0013</v>
      </c>
      <c r="C47" t="s">
        <v>216</v>
      </c>
    </row>
    <row r="48" spans="1:3">
      <c r="A48" s="2" t="s">
        <v>217</v>
      </c>
      <c r="B48" s="2">
        <v>0.0013</v>
      </c>
      <c r="C48" t="s">
        <v>218</v>
      </c>
    </row>
    <row r="49" spans="1:3">
      <c r="A49" s="2" t="s">
        <v>219</v>
      </c>
      <c r="B49" s="2">
        <v>0.0008</v>
      </c>
      <c r="C49" t="s">
        <v>220</v>
      </c>
    </row>
    <row r="50" spans="1:3">
      <c r="A50" s="2" t="s">
        <v>221</v>
      </c>
      <c r="B50" s="2">
        <v>0.0005</v>
      </c>
      <c r="C50" t="s">
        <v>222</v>
      </c>
    </row>
    <row r="51" spans="1:3">
      <c r="A51" s="2" t="s">
        <v>223</v>
      </c>
      <c r="B51" s="2">
        <v>0.0004</v>
      </c>
      <c r="C51" t="s">
        <v>224</v>
      </c>
    </row>
    <row r="52" spans="1:3">
      <c r="A52" s="2" t="s">
        <v>225</v>
      </c>
      <c r="B52" s="2">
        <v>0.0002</v>
      </c>
      <c r="C52" t="s">
        <v>226</v>
      </c>
    </row>
    <row r="53" spans="1:3">
      <c r="A53" s="2" t="s">
        <v>227</v>
      </c>
      <c r="B53" s="2">
        <v>0.0002</v>
      </c>
      <c r="C53" t="s">
        <v>228</v>
      </c>
    </row>
    <row r="54" spans="1:3">
      <c r="A54" s="2" t="s">
        <v>229</v>
      </c>
      <c r="B54" s="2">
        <v>0.0001</v>
      </c>
      <c r="C54" t="s">
        <v>230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2025-11-25T10:40:28Z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7F213F5BC4394C12B1E42FDCBAD21C4D_12</vt:lpwstr>
  </property>
  <property fmtid="{D5CDD505-2E9C-101B-9397-08002B2CF9AE}" pid="3" name="KSOProductBuildVer">
    <vt:lpwstr>2052-12.1.0.23542</vt:lpwstr>
  </property>
</Properties>
</file>